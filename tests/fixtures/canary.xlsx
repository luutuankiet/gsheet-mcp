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s" sheetId="1" r:id="rId5"/>
    <sheet state="visible" name="dashboard" sheetId="2" r:id="rId6"/>
    <sheet state="visible" name="native-table" sheetId="3" r:id="rId7"/>
    <sheet state="visible" name="multi-region" sheetId="4" r:id="rId8"/>
    <sheet state="visible" name="hidden" sheetId="5" r:id="rId9"/>
    <sheet state="visible" name="formulas" sheetId="6" r:id="rId10"/>
    <sheet state="hidden" name="hidden-tab" sheetId="7" r:id="rId11"/>
  </sheets>
  <definedNames>
    <definedName name="quarterly_targets">'multi-region'!$G$1:$J$9</definedName>
    <definedName hidden="1" localSheetId="4" name="_xlnm._FilterDatabase">hidden!$A$1:$E$13</definedName>
    <definedName hidden="1" localSheetId="2" name="Z_8984D3F8_8B76_463C_9888_F607AF9A5151_.wvu.FilterData">'native-table'!$A$1:$F$31</definedName>
  </definedNames>
  <calcPr/>
  <customWorkbookViews>
    <customWorkbookView activeSheetId="0" maximized="1" windowHeight="0" windowWidth="0" guid="{8984D3F8-8B76-463C-9888-F607AF9A5151}" name="qty over 50"/>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Canary Owner</author>
  </authors>
  <commentList>
    <comment authorId="0" ref="B3">
      <text>
        <t xml:space="preserve">Owner note: lorem ipsum.</t>
      </text>
    </comment>
    <comment authorId="1" xr:uid="{f043814a-2ca5-494c-b199-aa16c71d6ace}" ref="F4">
      <text>
        <t xml:space="preserve">[Threaded comment]
 Your version of Excel allows you to read this threaded comment; however, any edits to it will get removed if the file is opened in a newer version of Excel. Learn more: https://go.microsoft.com/fwlink/?linkid=870924
Comment:
	lorem question?
Reply:
	ipsum answer
</t>
      </text>
    </comment>
  </commentList>
</comments>
</file>

<file path=xl/sharedStrings.xml><?xml version="1.0" encoding="utf-8"?>
<sst xmlns="http://schemas.openxmlformats.org/spreadsheetml/2006/main" count="242" uniqueCount="178">
  <si>
    <t>sku</t>
  </si>
  <si>
    <t>W43</t>
  </si>
  <si>
    <t>region</t>
  </si>
  <si>
    <t>units</t>
  </si>
  <si>
    <t>revenue</t>
  </si>
  <si>
    <t>quarter</t>
  </si>
  <si>
    <t>target</t>
  </si>
  <si>
    <t>actual</t>
  </si>
  <si>
    <t>hit</t>
  </si>
  <si>
    <t>Weekly status · lorem ipsum</t>
  </si>
  <si>
    <t>SKU-000</t>
  </si>
  <si>
    <t>North</t>
  </si>
  <si>
    <t>Owner</t>
  </si>
  <si>
    <t>Q1</t>
  </si>
  <si>
    <t>Workstream</t>
  </si>
  <si>
    <t>Done</t>
  </si>
  <si>
    <t>Status</t>
  </si>
  <si>
    <t>Notes</t>
  </si>
  <si>
    <t>Ada Example</t>
  </si>
  <si>
    <t>SKU-001</t>
  </si>
  <si>
    <t>South</t>
  </si>
  <si>
    <t>Q2</t>
  </si>
  <si>
    <t>SKU-002</t>
  </si>
  <si>
    <t>East</t>
  </si>
  <si>
    <r>
      <rPr/>
      <t xml:space="preserve">Lorem </t>
    </r>
    <r>
      <rPr>
        <b/>
      </rPr>
      <t>ipsum</t>
    </r>
    <r>
      <rPr/>
      <t xml:space="preserve"> plan, see </t>
    </r>
    <r>
      <rPr>
        <color rgb="FF1155CC"/>
        <u/>
      </rPr>
      <t>the brief</t>
    </r>
  </si>
  <si>
    <t>Q3</t>
  </si>
  <si>
    <t>SKU-003</t>
  </si>
  <si>
    <t>West</t>
  </si>
  <si>
    <t>Q4</t>
  </si>
  <si>
    <t>SKU-004</t>
  </si>
  <si>
    <t>Q5</t>
  </si>
  <si>
    <t>SKU-005</t>
  </si>
  <si>
    <t>Q6</t>
  </si>
  <si>
    <t>SKU-006</t>
  </si>
  <si>
    <t>Q7</t>
  </si>
  <si>
    <t>SKU-007</t>
  </si>
  <si>
    <t>Total</t>
  </si>
  <si>
    <t>id</t>
  </si>
  <si>
    <t>On track</t>
  </si>
  <si>
    <t>✅ shipped to staging</t>
  </si>
  <si>
    <t>Bo Sample</t>
  </si>
  <si>
    <r>
      <rPr>
        <i/>
      </rPr>
      <t xml:space="preserve">Dolor </t>
    </r>
    <r>
      <rPr/>
      <t>migration</t>
    </r>
    <r>
      <rPr/>
      <t xml:space="preserve"> (</t>
    </r>
    <r>
      <rPr>
        <color rgb="FF1155CC"/>
        <u/>
      </rPr>
      <t>ticket</t>
    </r>
    <r>
      <rPr/>
      <t>)</t>
    </r>
  </si>
  <si>
    <t>item</t>
  </si>
  <si>
    <t>qty</t>
  </si>
  <si>
    <t>SKU-008</t>
  </si>
  <si>
    <t>SKU-009</t>
  </si>
  <si>
    <t>price</t>
  </si>
  <si>
    <t>SKU-010</t>
  </si>
  <si>
    <t>ordered</t>
  </si>
  <si>
    <t>At risk</t>
  </si>
  <si>
    <t>SKU-011</t>
  </si>
  <si>
    <t>⚠️ waiting on vendor</t>
  </si>
  <si>
    <t>Cy Placeholder</t>
  </si>
  <si>
    <t>Sit amet rollout</t>
  </si>
  <si>
    <t>SKU-012</t>
  </si>
  <si>
    <t>remark</t>
  </si>
  <si>
    <t>SKU-013</t>
  </si>
  <si>
    <t>Blocked</t>
  </si>
  <si>
    <t>🛑 blocked by access</t>
  </si>
  <si>
    <t>SKU-014</t>
  </si>
  <si>
    <t>Di Testcase</t>
  </si>
  <si>
    <t>Consectetur review</t>
  </si>
  <si>
    <t>SKU-015</t>
  </si>
  <si>
    <t>SKU-016</t>
  </si>
  <si>
    <t>🚀 ahead of plan</t>
  </si>
  <si>
    <t>ORD-1013</t>
  </si>
  <si>
    <t>Ed Mockwell</t>
  </si>
  <si>
    <t>team</t>
  </si>
  <si>
    <t>open</t>
  </si>
  <si>
    <t>closed</t>
  </si>
  <si>
    <r>
      <rPr/>
      <t xml:space="preserve">Adipiscing </t>
    </r>
    <r>
      <rPr>
        <color rgb="FF1155CC"/>
        <u/>
      </rPr>
      <t>docs</t>
    </r>
    <r>
      <rPr/>
      <t xml:space="preserve"> and </t>
    </r>
    <r>
      <rPr>
        <color rgb="FF1155CC"/>
        <u/>
      </rPr>
      <t>faq</t>
    </r>
  </si>
  <si>
    <t>Team A</t>
  </si>
  <si>
    <t>lorem</t>
  </si>
  <si>
    <t>Team B</t>
  </si>
  <si>
    <t>Team C</t>
  </si>
  <si>
    <t>consectetur</t>
  </si>
  <si>
    <t>Team D</t>
  </si>
  <si>
    <t>Team E</t>
  </si>
  <si>
    <t>Team F</t>
  </si>
  <si>
    <t>Team G</t>
  </si>
  <si>
    <t>* all figures are synthetic, lorem ipsum</t>
  </si>
  <si>
    <t>📎 notes attached</t>
  </si>
  <si>
    <t>Fi Dummy</t>
  </si>
  <si>
    <t>Elit cleanup</t>
  </si>
  <si>
    <t xml:space="preserve">Lorem ipsum dolor sit amet, consectetur adipiscing elit, sed do eiusmod tempor incididunt ut labore et dolore magna aliqua. Lorem ipsum dolor sit amet, consectetur adipiscing elit, sed do eiusmod tempor incididunt ut labore et dolore magna aliqua. Lorem ipsum dolor sit amet, consectetur adipiscing elit, sed do eiusmod tempor incididunt ut labore et dolore magna aliqua. Lorem ipsum dolor sit amet, consectetur adipiscing elit, sed do eiusmod tempor incididunt ut labore et dolore magna aliqua. Lorem ipsum dolor sit amet, consectetur adipiscing elit, sed do eiusmod tempor incididunt ut labore et dolore magna aliqua. Lorem ipsum dolor sit amet, consectetur adipiscing elit, sed do eiusmod tempor incididunt ut labore et dolore magna aliqua. </t>
  </si>
  <si>
    <t>Plan link</t>
  </si>
  <si>
    <t>label</t>
  </si>
  <si>
    <t>value</t>
  </si>
  <si>
    <t>hidden col</t>
  </si>
  <si>
    <t>status</t>
  </si>
  <si>
    <t>ORD-1026</t>
  </si>
  <si>
    <t>group</t>
  </si>
  <si>
    <t>row 1</t>
  </si>
  <si>
    <t>secret-ish 1</t>
  </si>
  <si>
    <t>keep</t>
  </si>
  <si>
    <t>row 2</t>
  </si>
  <si>
    <t>secret-ish 2</t>
  </si>
  <si>
    <t>dolor</t>
  </si>
  <si>
    <t>row 3</t>
  </si>
  <si>
    <t>secret-ish 3</t>
  </si>
  <si>
    <t>row 4</t>
  </si>
  <si>
    <t>secret-ish 4</t>
  </si>
  <si>
    <t>row 5</t>
  </si>
  <si>
    <t>secret-ish 5</t>
  </si>
  <si>
    <t>row 6</t>
  </si>
  <si>
    <t>secret-ish 6</t>
  </si>
  <si>
    <t>row 7</t>
  </si>
  <si>
    <t>secret-ish 7</t>
  </si>
  <si>
    <t>row 8</t>
  </si>
  <si>
    <t>secret-ish 8</t>
  </si>
  <si>
    <t>row 9</t>
  </si>
  <si>
    <t>secret-ish 9</t>
  </si>
  <si>
    <t>drop</t>
  </si>
  <si>
    <t>row 10</t>
  </si>
  <si>
    <t>secret-ish 10</t>
  </si>
  <si>
    <t>row 11</t>
  </si>
  <si>
    <t>secret-ish 11</t>
  </si>
  <si>
    <t>row 12</t>
  </si>
  <si>
    <t>secret-ish 12</t>
  </si>
  <si>
    <t>ORD-1005</t>
  </si>
  <si>
    <t>rush</t>
  </si>
  <si>
    <t>input</t>
  </si>
  <si>
    <t>formula</t>
  </si>
  <si>
    <t>what</t>
  </si>
  <si>
    <t>ORD-1018</t>
  </si>
  <si>
    <t>same-row arithmetic</t>
  </si>
  <si>
    <t>Ticket dashboard · synthetic</t>
  </si>
  <si>
    <t>SUM over a range</t>
  </si>
  <si>
    <t>Category</t>
  </si>
  <si>
    <t>Count</t>
  </si>
  <si>
    <t>Week 1</t>
  </si>
  <si>
    <t>Week 2</t>
  </si>
  <si>
    <t>Week 3</t>
  </si>
  <si>
    <t>Week 4</t>
  </si>
  <si>
    <t>reference to another tab</t>
  </si>
  <si>
    <t>Week 5</t>
  </si>
  <si>
    <t>Bugs</t>
  </si>
  <si>
    <t>ORD-1010</t>
  </si>
  <si>
    <t>rows in a named range</t>
  </si>
  <si>
    <t>Features</t>
  </si>
  <si>
    <t>a #REF! error</t>
  </si>
  <si>
    <t>Chores</t>
  </si>
  <si>
    <t>a #DIV/0! error</t>
  </si>
  <si>
    <t>Docs</t>
  </si>
  <si>
    <t>Spikes</t>
  </si>
  <si>
    <t>ORD-1023</t>
  </si>
  <si>
    <t>a date built in a formula</t>
  </si>
  <si>
    <t>elit</t>
  </si>
  <si>
    <t>Lorem ipsum summary block</t>
  </si>
  <si>
    <t>ORD-1002</t>
  </si>
  <si>
    <t>key</t>
  </si>
  <si>
    <t>ipsum</t>
  </si>
  <si>
    <t>ORD-1015</t>
  </si>
  <si>
    <t>ORD-1028</t>
  </si>
  <si>
    <t>amet</t>
  </si>
  <si>
    <t>ORD-1007</t>
  </si>
  <si>
    <t>ORD-1020</t>
  </si>
  <si>
    <t>ORD-1012</t>
  </si>
  <si>
    <t>ORD-1025</t>
  </si>
  <si>
    <t>ORD-1004</t>
  </si>
  <si>
    <t>ORD-1017</t>
  </si>
  <si>
    <t>ORD-1009</t>
  </si>
  <si>
    <t>ORD-1022</t>
  </si>
  <si>
    <t>adipiscing</t>
  </si>
  <si>
    <t>ORD-1001</t>
  </si>
  <si>
    <t>ORD-1014</t>
  </si>
  <si>
    <t>ORD-1027</t>
  </si>
  <si>
    <t>sit</t>
  </si>
  <si>
    <t>ORD-1006</t>
  </si>
  <si>
    <t>ORD-1019</t>
  </si>
  <si>
    <t>ORD-1011</t>
  </si>
  <si>
    <t>ORD-1024</t>
  </si>
  <si>
    <t>ORD-1003</t>
  </si>
  <si>
    <t>ORD-1016</t>
  </si>
  <si>
    <t>ORD-1029</t>
  </si>
  <si>
    <t>ORD-1008</t>
  </si>
  <si>
    <t>ORD-1021</t>
  </si>
  <si>
    <t>ORD-1000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</si>
</sst>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b/>
      <color theme="1"/>
      <name val="Arial"/>
      <scheme val="minor"/>
    </font>
    <font>
      <b/>
      <sz val="12.0"/>
      <color rgb="FFFFFFFF"/>
      <name val="Arial"/>
      <scheme val="minor"/>
    </font>
    <font>
      <color theme="1"/>
      <name val="Arial"/>
      <scheme val="minor"/>
    </font>
    <font>
      <u/>
      <color rgb="FF0000FF"/>
    </font>
    <font>
      <i/>
      <color theme="1"/>
      <name val="Arial"/>
      <scheme val="minor"/>
    </font>
  </fonts>
  <fills count="5">
    <fill>
      <patternFill patternType="none"/>
    </fill>
    <fill>
      <patternFill patternType="lightGray"/>
    </fill>
    <fill>
      <patternFill patternType="solid">
        <fgColor rgb="FFD9E2F3"/>
        <bgColor rgb="FFD9E2F3"/>
      </patternFill>
    </fill>
    <fill>
      <patternFill patternType="solid">
        <fgColor rgb="FF1F3864"/>
        <bgColor rgb="FF1F3864"/>
      </patternFill>
    </fill>
    <fill>
      <patternFill patternType="solid">
        <fgColor rgb="FFFFF2CC"/>
        <bgColor rgb="FFFFF2CC"/>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xf>
    <xf borderId="0" fillId="0" fontId="3" numFmtId="0" xfId="0" applyFont="1"/>
    <xf borderId="0" fillId="0" fontId="3" numFmtId="9" xfId="0" applyFont="1" applyNumberFormat="1"/>
    <xf borderId="0" fillId="0" fontId="1" numFmtId="0" xfId="0" applyFont="1"/>
    <xf borderId="0" fillId="0" fontId="4" numFmtId="0" xfId="0" applyFont="1"/>
    <xf borderId="0" fillId="0" fontId="3" numFmtId="0" xfId="0" applyAlignment="1" applyFont="1">
      <alignment readingOrder="0"/>
    </xf>
    <xf borderId="0" fillId="0" fontId="3" numFmtId="0" xfId="0" applyAlignment="1" applyFont="1">
      <alignment horizontal="left" readingOrder="0" shrinkToFit="0" vertical="center" wrapText="0"/>
    </xf>
    <xf borderId="0" fillId="0" fontId="3" numFmtId="49" xfId="0" applyAlignment="1" applyFont="1" applyNumberFormat="1">
      <alignment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5" numFmtId="0" xfId="0" applyFont="1"/>
    <xf borderId="0" fillId="0" fontId="3" numFmtId="0" xfId="0" applyAlignment="1" applyFont="1">
      <alignment shrinkToFit="0" vertical="center" wrapText="0"/>
    </xf>
    <xf borderId="0" fillId="0" fontId="3" numFmtId="0" xfId="0" applyAlignment="1" applyFont="1">
      <alignment shrinkToFit="0" wrapText="1"/>
    </xf>
    <xf borderId="0" fillId="0" fontId="3" numFmtId="164" xfId="0" applyAlignment="1" applyFont="1" applyNumberFormat="1">
      <alignment shrinkToFit="0" vertical="center" wrapText="0"/>
    </xf>
    <xf borderId="0" fillId="0" fontId="3" numFmtId="0" xfId="0" applyFont="1"/>
    <xf borderId="0" fillId="4" fontId="3" numFmtId="0" xfId="0" applyFill="1" applyFont="1"/>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38761D"/>
          <bgColor rgb="FF38761D"/>
        </patternFill>
      </fill>
      <border/>
    </dxf>
    <dxf>
      <font/>
      <fill>
        <patternFill patternType="solid">
          <fgColor rgb="FFD9EAD3"/>
          <bgColor rgb="FFD9EAD3"/>
        </patternFill>
      </fill>
      <border/>
    </dxf>
    <dxf>
      <font/>
      <fill>
        <patternFill patternType="solid">
          <fgColor rgb="FFF4CCCC"/>
          <bgColor rgb="FFF4CCCC"/>
        </patternFill>
      </fill>
      <border/>
    </dxf>
  </dxfs>
  <tableStyles count="2">
    <tableStyle count="4" pivot="0" name="native-table-style">
      <tableStyleElement dxfId="1" type="headerRow"/>
      <tableStyleElement dxfId="2" type="firstRowStripe"/>
      <tableStyleElement dxfId="3" type="secondRowStripe"/>
      <tableStyleElement dxfId="4" size="0" type="wholeTable"/>
    </tableStyle>
    <tableStyle count="3" pivot="0" name="dashboard-style">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Tickets by category</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dashboard!$A$4:$A$8</c:f>
            </c:strRef>
          </c:cat>
          <c:val>
            <c:numRef>
              <c:f>dashboard!$B$4:$B$8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152400</xdr:colOff>
      <xdr:row>2</xdr:row>
      <xdr:rowOff>152400</xdr:rowOff>
    </xdr:from>
    <xdr:ext cx="914400" cy="381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xdr:row>
      <xdr:rowOff>0</xdr:rowOff>
    </xdr:from>
    <xdr:ext cx="5715000" cy="3533775"/>
    <xdr:graphicFrame>
      <xdr:nvGraphicFramePr>
        <xdr:cNvPr id="1" name="Chart 1" title="Tickets by categor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nary Owner" id="{19417772-ef39-467a-bdb8-3c370e5f33ff}" providerId="google-sheets"/>
</x18tc:personList>
</file>

<file path=xl/tables/table1.xml><?xml version="1.0" encoding="utf-8"?>
<table xmlns="http://schemas.openxmlformats.org/spreadsheetml/2006/main" ref="A3:B8" displayName="Canary Owner" name="Canary Owner" id="2">
  <tableColumns count="2">
    <tableColumn name="Category" id="1"/>
    <tableColumn name="Count" id="2"/>
  </tableColumns>
  <tableStyleInfo name="dashboard-style" showColumnStripes="0" showFirstColumn="1" showLastColumn="1" showRowStripes="1"/>
</table>
</file>

<file path=xl/tables/table2.xml><?xml version="1.0" encoding="utf-8"?>
<table xmlns="http://schemas.openxmlformats.org/spreadsheetml/2006/main" ref="A1:F31" displayName="Canary Owner" name="Canary Owner" id="1">
  <tableColumns count="6">
    <tableColumn name="id" id="1"/>
    <tableColumn name="item" id="2"/>
    <tableColumn name="qty" id="3"/>
    <tableColumn name="price" id="4"/>
    <tableColumn name="ordered" id="5"/>
    <tableColumn name="remark" id="6"/>
  </tableColumns>
  <tableStyleInfo name="native-tab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 dT="2026-10-23T15:52:05.00" personId="{19417772-ef39-467a-bdb8-3c370e5f33ff}" id="{f043814a-2ca5-494c-b199-aa16c71d6ace}" done="0">
    <x18tc:text xml:space="preserve">lorem question?</x18tc:text>
  </x18tc:threadedComment>
  <x18tc:threadedComment ref="F4" dT="2026-10-23T15:52:14.00" personId="{19417772-ef39-467a-bdb8-3c370e5f33ff}" id="{ac558d22-b345-47e1-b47f-a34436af5185}" parentId="{f043814a-2ca5-494c-b199-aa16c71d6ace}">
    <x18tc:text xml:space="preserve">ipsum answer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example.com/brief" TargetMode="External"/><Relationship Id="rId5" Type="http://schemas.openxmlformats.org/officeDocument/2006/relationships/hyperlink" Target="https://example.com/t/1" TargetMode="External"/><Relationship Id="rId6" Type="http://schemas.openxmlformats.org/officeDocument/2006/relationships/hyperlink" Target="https://example.com/docs"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6" max="6" width="40.13"/>
  </cols>
  <sheetData>
    <row r="1">
      <c r="A1" s="2" t="s">
        <v>1</v>
      </c>
      <c r="B1" s="2" t="s">
        <v>9</v>
      </c>
    </row>
    <row r="2">
      <c r="A2" s="1" t="s">
        <v>12</v>
      </c>
      <c r="B2" s="1" t="s">
        <v>14</v>
      </c>
      <c r="D2" s="1" t="s">
        <v>15</v>
      </c>
      <c r="E2" s="1" t="s">
        <v>16</v>
      </c>
      <c r="F2" s="1" t="s">
        <v>17</v>
      </c>
    </row>
    <row r="3">
      <c r="A3" s="5" t="s">
        <v>18</v>
      </c>
      <c r="B3" s="6" t="s">
        <v>24</v>
      </c>
      <c r="D3" s="3" t="b">
        <v>1</v>
      </c>
      <c r="E3" s="3" t="s">
        <v>38</v>
      </c>
      <c r="F3" s="3" t="s">
        <v>39</v>
      </c>
      <c r="G3" s="7">
        <v>3.0</v>
      </c>
    </row>
    <row r="4">
      <c r="A4" s="5" t="s">
        <v>40</v>
      </c>
      <c r="B4" s="6" t="s">
        <v>41</v>
      </c>
      <c r="D4" s="3" t="b">
        <v>0</v>
      </c>
      <c r="E4" s="3" t="s">
        <v>49</v>
      </c>
      <c r="F4" s="3" t="s">
        <v>51</v>
      </c>
    </row>
    <row r="5">
      <c r="A5" s="5" t="s">
        <v>52</v>
      </c>
      <c r="B5" s="5" t="s">
        <v>53</v>
      </c>
      <c r="D5" s="3" t="b">
        <v>1</v>
      </c>
      <c r="E5" s="3" t="s">
        <v>57</v>
      </c>
      <c r="F5" s="3" t="s">
        <v>58</v>
      </c>
    </row>
    <row r="6">
      <c r="A6" s="5" t="s">
        <v>60</v>
      </c>
      <c r="B6" s="3" t="s">
        <v>61</v>
      </c>
      <c r="D6" s="3" t="b">
        <v>0</v>
      </c>
      <c r="E6" s="3" t="s">
        <v>38</v>
      </c>
      <c r="F6" s="3" t="s">
        <v>64</v>
      </c>
    </row>
    <row r="7">
      <c r="A7" s="5" t="s">
        <v>66</v>
      </c>
      <c r="B7" s="6" t="s">
        <v>70</v>
      </c>
      <c r="D7" s="3" t="b">
        <v>1</v>
      </c>
      <c r="E7" s="3" t="s">
        <v>38</v>
      </c>
      <c r="F7" s="3" t="s">
        <v>81</v>
      </c>
    </row>
    <row r="8">
      <c r="A8" s="5" t="s">
        <v>82</v>
      </c>
      <c r="B8" s="12" t="s">
        <v>83</v>
      </c>
      <c r="D8" s="3" t="b">
        <v>0</v>
      </c>
      <c r="E8" s="3" t="s">
        <v>49</v>
      </c>
      <c r="F8" s="14" t="s">
        <v>84</v>
      </c>
    </row>
    <row r="9">
      <c r="A9" s="3" t="s">
        <v>85</v>
      </c>
      <c r="B9" s="6" t="str">
        <f>HYPERLINK("https://example.com/plan","Plan")</f>
        <v>Plan</v>
      </c>
    </row>
    <row r="10" ht="45.0" customHeight="1">
      <c r="A10" s="3" t="str">
        <f>IMAGE("https://www.gstatic.com/images/branding/product/2x/sheets_2020q4_48dp.png")</f>
        <v/>
      </c>
    </row>
  </sheetData>
  <mergeCells count="8">
    <mergeCell ref="B1:F1"/>
    <mergeCell ref="B2:C2"/>
    <mergeCell ref="B3:C3"/>
    <mergeCell ref="B4:C4"/>
    <mergeCell ref="B5:C5"/>
    <mergeCell ref="B6:C6"/>
    <mergeCell ref="B7:C7"/>
    <mergeCell ref="B8:C8"/>
  </mergeCells>
  <dataValidations>
    <dataValidation type="list" allowBlank="1" showErrorMessage="1" sqref="E3:E8">
      <formula1>"On track,At risk,Blocked"</formula1>
    </dataValidation>
    <dataValidation type="list" allowBlank="1" showErrorMessage="1" sqref="G3">
      <formula1>"0,1,2,3,4,5"</formula1>
    </dataValidation>
  </dataValidations>
  <hyperlinks>
    <hyperlink r:id="rId4" ref="B3"/>
    <hyperlink r:id="rId5" ref="B4"/>
    <hyperlink r:id="rId6" ref="B7"/>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126</v>
      </c>
    </row>
    <row r="3">
      <c r="A3" s="16" t="s">
        <v>128</v>
      </c>
      <c r="B3" s="16" t="s">
        <v>129</v>
      </c>
      <c r="D3" s="1" t="s">
        <v>130</v>
      </c>
      <c r="E3" s="1" t="s">
        <v>131</v>
      </c>
      <c r="F3" s="1" t="s">
        <v>132</v>
      </c>
      <c r="G3" s="1" t="s">
        <v>133</v>
      </c>
      <c r="H3" s="1" t="s">
        <v>135</v>
      </c>
    </row>
    <row r="4">
      <c r="A4" s="16" t="s">
        <v>136</v>
      </c>
      <c r="B4" s="16">
        <v>24.0</v>
      </c>
      <c r="D4" s="3" t="b">
        <v>0</v>
      </c>
      <c r="E4" s="3" t="b">
        <v>1</v>
      </c>
      <c r="F4" s="3" t="b">
        <v>1</v>
      </c>
      <c r="G4" s="3" t="b">
        <v>0</v>
      </c>
      <c r="H4" s="3" t="b">
        <v>1</v>
      </c>
    </row>
    <row r="5">
      <c r="A5" s="16" t="s">
        <v>139</v>
      </c>
      <c r="B5" s="16">
        <v>15.0</v>
      </c>
      <c r="D5" s="3" t="b">
        <v>1</v>
      </c>
      <c r="E5" s="3" t="b">
        <v>0</v>
      </c>
      <c r="F5" s="3" t="b">
        <v>1</v>
      </c>
      <c r="G5" s="3" t="b">
        <v>1</v>
      </c>
      <c r="H5" s="3" t="b">
        <v>0</v>
      </c>
    </row>
    <row r="6">
      <c r="A6" s="16" t="s">
        <v>141</v>
      </c>
      <c r="B6" s="16">
        <v>8.0</v>
      </c>
      <c r="D6" s="3" t="b">
        <v>1</v>
      </c>
      <c r="E6" s="3" t="b">
        <v>1</v>
      </c>
      <c r="F6" s="3" t="b">
        <v>0</v>
      </c>
      <c r="G6" s="3" t="b">
        <v>1</v>
      </c>
      <c r="H6" s="3" t="b">
        <v>1</v>
      </c>
    </row>
    <row r="7">
      <c r="A7" s="16" t="s">
        <v>143</v>
      </c>
      <c r="B7" s="16">
        <v>5.0</v>
      </c>
      <c r="D7" s="3" t="b">
        <v>0</v>
      </c>
      <c r="E7" s="3" t="b">
        <v>1</v>
      </c>
      <c r="F7" s="3" t="b">
        <v>1</v>
      </c>
      <c r="G7" s="3" t="b">
        <v>0</v>
      </c>
      <c r="H7" s="3" t="b">
        <v>1</v>
      </c>
    </row>
    <row r="8">
      <c r="A8" s="16" t="s">
        <v>144</v>
      </c>
      <c r="B8" s="16">
        <v>3.0</v>
      </c>
      <c r="D8" s="3" t="b">
        <v>1</v>
      </c>
      <c r="E8" s="3" t="b">
        <v>0</v>
      </c>
      <c r="F8" s="3" t="b">
        <v>1</v>
      </c>
      <c r="G8" s="3" t="b">
        <v>1</v>
      </c>
      <c r="H8" s="3" t="b">
        <v>0</v>
      </c>
    </row>
    <row r="10">
      <c r="A10" s="17" t="s">
        <v>148</v>
      </c>
    </row>
  </sheetData>
  <mergeCells count="2">
    <mergeCell ref="A1:H1"/>
    <mergeCell ref="A10:D12"/>
  </mergeCells>
  <conditionalFormatting sqref="B4:B8">
    <cfRule type="cellIs" dxfId="7" priority="1" stopIfTrue="1" operator="greaterThan">
      <formula>20</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4.25"/>
  </cols>
  <sheetData>
    <row r="1" ht="22.5" customHeight="1">
      <c r="A1" s="8" t="s">
        <v>37</v>
      </c>
      <c r="B1" s="8" t="s">
        <v>42</v>
      </c>
      <c r="C1" s="8" t="s">
        <v>43</v>
      </c>
      <c r="D1" s="8" t="s">
        <v>46</v>
      </c>
      <c r="E1" s="8" t="s">
        <v>48</v>
      </c>
      <c r="F1" s="8" t="s">
        <v>55</v>
      </c>
    </row>
    <row r="2" ht="22.5" customHeight="1">
      <c r="A2" s="9" t="s">
        <v>65</v>
      </c>
      <c r="B2" s="10" t="s">
        <v>75</v>
      </c>
      <c r="C2" s="11">
        <v>94.0</v>
      </c>
      <c r="D2" s="13">
        <v>177.5</v>
      </c>
      <c r="E2" s="15">
        <v>46039.0</v>
      </c>
    </row>
    <row r="3" ht="22.5" customHeight="1">
      <c r="A3" s="9" t="s">
        <v>90</v>
      </c>
      <c r="B3" s="10" t="s">
        <v>97</v>
      </c>
      <c r="C3" s="11">
        <v>90.0</v>
      </c>
      <c r="D3" s="13">
        <v>183.5</v>
      </c>
      <c r="E3" s="15">
        <v>46078.0</v>
      </c>
    </row>
    <row r="4" ht="22.5" customHeight="1">
      <c r="A4" s="9" t="s">
        <v>119</v>
      </c>
      <c r="B4" s="10" t="s">
        <v>75</v>
      </c>
      <c r="C4" s="11">
        <v>89.0</v>
      </c>
      <c r="D4" s="13">
        <v>160.75</v>
      </c>
      <c r="E4" s="15">
        <v>46015.0</v>
      </c>
      <c r="F4" s="10" t="s">
        <v>120</v>
      </c>
    </row>
    <row r="5" ht="22.5" customHeight="1">
      <c r="A5" s="9" t="s">
        <v>124</v>
      </c>
      <c r="B5" s="10" t="s">
        <v>97</v>
      </c>
      <c r="C5" s="11">
        <v>85.0</v>
      </c>
      <c r="D5" s="13">
        <v>166.75</v>
      </c>
      <c r="E5" s="15">
        <v>46054.0</v>
      </c>
    </row>
    <row r="6" ht="22.5" customHeight="1">
      <c r="A6" s="9" t="s">
        <v>137</v>
      </c>
      <c r="B6" s="10" t="s">
        <v>97</v>
      </c>
      <c r="C6" s="11">
        <v>80.0</v>
      </c>
      <c r="D6" s="13">
        <v>150.0</v>
      </c>
      <c r="E6" s="15">
        <v>46030.0</v>
      </c>
      <c r="F6" s="10" t="s">
        <v>120</v>
      </c>
    </row>
    <row r="7" ht="22.5" customHeight="1">
      <c r="A7" s="9" t="s">
        <v>145</v>
      </c>
      <c r="B7" s="10" t="s">
        <v>147</v>
      </c>
      <c r="C7" s="11">
        <v>76.0</v>
      </c>
      <c r="D7" s="13">
        <v>156.0</v>
      </c>
      <c r="E7" s="15">
        <v>46069.0</v>
      </c>
    </row>
    <row r="8" ht="22.5" customHeight="1">
      <c r="A8" s="9" t="s">
        <v>149</v>
      </c>
      <c r="B8" s="10" t="s">
        <v>97</v>
      </c>
      <c r="C8" s="11">
        <v>75.0</v>
      </c>
      <c r="D8" s="13">
        <v>133.25</v>
      </c>
      <c r="E8" s="15">
        <v>46006.0</v>
      </c>
    </row>
    <row r="9" ht="22.5" customHeight="1">
      <c r="A9" s="9" t="s">
        <v>152</v>
      </c>
      <c r="B9" s="10" t="s">
        <v>147</v>
      </c>
      <c r="C9" s="11">
        <v>71.0</v>
      </c>
      <c r="D9" s="13">
        <v>139.25</v>
      </c>
      <c r="E9" s="15">
        <v>46045.0</v>
      </c>
      <c r="F9" s="10" t="s">
        <v>120</v>
      </c>
    </row>
    <row r="10" ht="22.5" customHeight="1">
      <c r="A10" s="9" t="s">
        <v>153</v>
      </c>
      <c r="B10" s="10" t="s">
        <v>154</v>
      </c>
      <c r="C10" s="11">
        <v>67.0</v>
      </c>
      <c r="D10" s="13">
        <v>145.25</v>
      </c>
      <c r="E10" s="15">
        <v>46084.0</v>
      </c>
    </row>
    <row r="11" ht="22.5" customHeight="1">
      <c r="A11" s="9" t="s">
        <v>155</v>
      </c>
      <c r="B11" s="10" t="s">
        <v>147</v>
      </c>
      <c r="C11" s="11">
        <v>66.0</v>
      </c>
      <c r="D11" s="13">
        <v>122.5</v>
      </c>
      <c r="E11" s="15">
        <v>46021.0</v>
      </c>
    </row>
    <row r="12" ht="22.5" customHeight="1">
      <c r="A12" s="9" t="s">
        <v>156</v>
      </c>
      <c r="B12" s="10" t="s">
        <v>154</v>
      </c>
      <c r="C12" s="11">
        <v>62.0</v>
      </c>
      <c r="D12" s="13">
        <v>128.5</v>
      </c>
      <c r="E12" s="15">
        <v>46060.0</v>
      </c>
      <c r="F12" s="10" t="s">
        <v>120</v>
      </c>
    </row>
    <row r="13" ht="22.5" customHeight="1">
      <c r="A13" s="9" t="s">
        <v>157</v>
      </c>
      <c r="B13" s="10" t="s">
        <v>154</v>
      </c>
      <c r="C13" s="11">
        <v>57.0</v>
      </c>
      <c r="D13" s="13">
        <v>111.75</v>
      </c>
      <c r="E13" s="15">
        <v>46036.0</v>
      </c>
    </row>
    <row r="14" ht="22.5" customHeight="1">
      <c r="A14" s="9" t="s">
        <v>158</v>
      </c>
      <c r="B14" s="10" t="s">
        <v>151</v>
      </c>
      <c r="C14" s="11">
        <v>53.0</v>
      </c>
      <c r="D14" s="13">
        <v>117.75</v>
      </c>
      <c r="E14" s="15">
        <v>46075.0</v>
      </c>
      <c r="F14" s="10" t="s">
        <v>120</v>
      </c>
    </row>
    <row r="15" ht="22.5" customHeight="1">
      <c r="A15" s="9" t="s">
        <v>159</v>
      </c>
      <c r="B15" s="10" t="s">
        <v>154</v>
      </c>
      <c r="C15" s="11">
        <v>52.0</v>
      </c>
      <c r="D15" s="13">
        <v>95.0</v>
      </c>
      <c r="E15" s="15">
        <v>46012.0</v>
      </c>
    </row>
    <row r="16" ht="22.5" customHeight="1">
      <c r="A16" s="9" t="s">
        <v>160</v>
      </c>
      <c r="B16" s="10" t="s">
        <v>151</v>
      </c>
      <c r="C16" s="11">
        <v>48.0</v>
      </c>
      <c r="D16" s="13">
        <v>101.0</v>
      </c>
      <c r="E16" s="15">
        <v>46051.0</v>
      </c>
    </row>
    <row r="17" ht="22.5" customHeight="1">
      <c r="A17" s="9" t="s">
        <v>161</v>
      </c>
      <c r="B17" s="10" t="s">
        <v>151</v>
      </c>
      <c r="C17" s="11">
        <v>43.0</v>
      </c>
      <c r="D17" s="13">
        <v>84.25</v>
      </c>
      <c r="E17" s="15">
        <v>46027.0</v>
      </c>
    </row>
    <row r="18" ht="22.5" customHeight="1">
      <c r="A18" s="9" t="s">
        <v>162</v>
      </c>
      <c r="B18" s="10" t="s">
        <v>163</v>
      </c>
      <c r="C18" s="11">
        <v>39.0</v>
      </c>
      <c r="D18" s="13">
        <v>90.25</v>
      </c>
      <c r="E18" s="15">
        <v>46066.0</v>
      </c>
    </row>
    <row r="19" ht="22.5" customHeight="1">
      <c r="A19" s="9" t="s">
        <v>164</v>
      </c>
      <c r="B19" s="10" t="s">
        <v>151</v>
      </c>
      <c r="C19" s="11">
        <v>38.0</v>
      </c>
      <c r="D19" s="13">
        <v>67.5</v>
      </c>
      <c r="E19" s="15">
        <v>46003.0</v>
      </c>
    </row>
    <row r="20" ht="22.5" customHeight="1">
      <c r="A20" s="9" t="s">
        <v>165</v>
      </c>
      <c r="B20" s="10" t="s">
        <v>163</v>
      </c>
      <c r="C20" s="11">
        <v>34.0</v>
      </c>
      <c r="D20" s="13">
        <v>73.5</v>
      </c>
      <c r="E20" s="15">
        <v>46042.0</v>
      </c>
    </row>
    <row r="21" ht="22.5" customHeight="1">
      <c r="A21" s="9" t="s">
        <v>166</v>
      </c>
      <c r="B21" s="10" t="s">
        <v>167</v>
      </c>
      <c r="C21" s="11">
        <v>30.0</v>
      </c>
      <c r="D21" s="13">
        <v>79.5</v>
      </c>
      <c r="E21" s="15">
        <v>46081.0</v>
      </c>
    </row>
    <row r="22" ht="22.5" customHeight="1">
      <c r="A22" s="9" t="s">
        <v>168</v>
      </c>
      <c r="B22" s="10" t="s">
        <v>163</v>
      </c>
      <c r="C22" s="11">
        <v>29.0</v>
      </c>
      <c r="D22" s="13">
        <v>56.75</v>
      </c>
      <c r="E22" s="15">
        <v>46018.0</v>
      </c>
    </row>
    <row r="23" ht="22.5" customHeight="1">
      <c r="A23" s="9" t="s">
        <v>169</v>
      </c>
      <c r="B23" s="10" t="s">
        <v>167</v>
      </c>
      <c r="C23" s="11">
        <v>25.0</v>
      </c>
      <c r="D23" s="13">
        <v>62.75</v>
      </c>
      <c r="E23" s="15">
        <v>46057.0</v>
      </c>
    </row>
    <row r="24" ht="22.5" customHeight="1">
      <c r="A24" s="9" t="s">
        <v>170</v>
      </c>
      <c r="B24" s="10" t="s">
        <v>167</v>
      </c>
      <c r="C24" s="11">
        <v>20.0</v>
      </c>
      <c r="D24" s="13">
        <v>46.0</v>
      </c>
      <c r="E24" s="15">
        <v>46033.0</v>
      </c>
    </row>
    <row r="25" ht="22.5" customHeight="1">
      <c r="A25" s="9" t="s">
        <v>171</v>
      </c>
      <c r="B25" s="10" t="s">
        <v>72</v>
      </c>
      <c r="C25" s="11">
        <v>16.0</v>
      </c>
      <c r="D25" s="13">
        <v>52.0</v>
      </c>
      <c r="E25" s="15">
        <v>46072.0</v>
      </c>
    </row>
    <row r="26" ht="22.5" customHeight="1">
      <c r="A26" s="9" t="s">
        <v>172</v>
      </c>
      <c r="B26" s="10" t="s">
        <v>167</v>
      </c>
      <c r="C26" s="11">
        <v>15.0</v>
      </c>
      <c r="D26" s="13">
        <v>29.25</v>
      </c>
      <c r="E26" s="15">
        <v>46009.0</v>
      </c>
    </row>
    <row r="27" ht="22.5" customHeight="1">
      <c r="A27" s="9" t="s">
        <v>173</v>
      </c>
      <c r="B27" s="10" t="s">
        <v>72</v>
      </c>
      <c r="C27" s="11">
        <v>11.0</v>
      </c>
      <c r="D27" s="13">
        <v>35.25</v>
      </c>
      <c r="E27" s="15">
        <v>46048.0</v>
      </c>
    </row>
    <row r="28" ht="22.5" customHeight="1">
      <c r="A28" s="9" t="s">
        <v>174</v>
      </c>
      <c r="B28" s="10" t="s">
        <v>75</v>
      </c>
      <c r="C28" s="11">
        <v>7.0</v>
      </c>
      <c r="D28" s="13">
        <v>41.25</v>
      </c>
      <c r="E28" s="15">
        <v>46087.0</v>
      </c>
    </row>
    <row r="29" ht="22.5" customHeight="1">
      <c r="A29" s="9" t="s">
        <v>175</v>
      </c>
      <c r="B29" s="10" t="s">
        <v>72</v>
      </c>
      <c r="C29" s="11">
        <v>6.0</v>
      </c>
      <c r="D29" s="13">
        <v>18.5</v>
      </c>
      <c r="E29" s="15">
        <v>46024.0</v>
      </c>
    </row>
    <row r="30" ht="22.5" customHeight="1">
      <c r="A30" s="9" t="s">
        <v>176</v>
      </c>
      <c r="B30" s="10" t="s">
        <v>75</v>
      </c>
      <c r="C30" s="11">
        <v>2.0</v>
      </c>
      <c r="D30" s="13">
        <v>24.5</v>
      </c>
      <c r="E30" s="15">
        <v>46063.0</v>
      </c>
    </row>
    <row r="31" ht="22.5" customHeight="1">
      <c r="A31" s="9" t="s">
        <v>177</v>
      </c>
      <c r="B31" s="10" t="s">
        <v>72</v>
      </c>
      <c r="C31" s="11">
        <v>1.0</v>
      </c>
      <c r="D31" s="13">
        <v>1.75</v>
      </c>
      <c r="E31" s="15">
        <v>46000.0</v>
      </c>
      <c r="F31" s="10" t="s">
        <v>120</v>
      </c>
    </row>
  </sheetData>
  <customSheetViews>
    <customSheetView guid="{8984D3F8-8B76-463C-9888-F607AF9A5151}" filter="1" showAutoFilter="1">
      <autoFilter ref="$A$1:$F$31">
        <filterColumn colId="2">
          <customFilters>
            <customFilter operator="greaterThan" val="50"/>
          </customFilters>
        </filterColumn>
      </autoFilter>
    </customSheetView>
  </customSheetViews>
  <dataValidations>
    <dataValidation type="custom" allowBlank="1" showDropDown="1" sqref="E2:E31">
      <formula1>OR(NOT(ISERROR(DATEVALUE(E2))), AND(ISNUMBER(E2), LEFT(CELL("format", E2))="D"))</formula1>
    </dataValidation>
    <dataValidation type="custom" allowBlank="1" showDropDown="1" sqref="C2:D31">
      <formula1>AND(ISNUMBER(C2),(NOT(OR(NOT(ISERROR(DATEVALUE(C2))), AND(ISNUMBER(C2), LEFT(CELL("format", C2))="D")))))</formula1>
    </dataValidation>
    <dataValidation allowBlank="1" showDropDown="1" sqref="A2:A31"/>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G1" s="1" t="s">
        <v>5</v>
      </c>
      <c r="H1" s="1" t="s">
        <v>6</v>
      </c>
      <c r="I1" s="1" t="s">
        <v>7</v>
      </c>
      <c r="J1" s="1" t="s">
        <v>8</v>
      </c>
    </row>
    <row r="2">
      <c r="A2" s="3" t="s">
        <v>10</v>
      </c>
      <c r="B2" s="3" t="s">
        <v>11</v>
      </c>
      <c r="C2" s="3">
        <v>10.0</v>
      </c>
      <c r="D2" s="3">
        <v>100.0</v>
      </c>
      <c r="G2" s="3" t="s">
        <v>13</v>
      </c>
      <c r="H2" s="3">
        <v>120.0</v>
      </c>
      <c r="I2" s="3">
        <v>95.0</v>
      </c>
      <c r="J2" s="4">
        <v>0.79</v>
      </c>
    </row>
    <row r="3">
      <c r="A3" s="3" t="s">
        <v>19</v>
      </c>
      <c r="B3" s="3" t="s">
        <v>20</v>
      </c>
      <c r="C3" s="3">
        <v>11.0</v>
      </c>
      <c r="D3" s="3">
        <v>112.5</v>
      </c>
      <c r="G3" s="3" t="s">
        <v>21</v>
      </c>
      <c r="H3" s="3">
        <v>130.0</v>
      </c>
      <c r="I3" s="3">
        <v>101.0</v>
      </c>
      <c r="J3" s="4">
        <v>0.78</v>
      </c>
      <c r="L3" s="3">
        <v>42.0</v>
      </c>
    </row>
    <row r="4">
      <c r="A4" s="3" t="s">
        <v>22</v>
      </c>
      <c r="B4" s="3" t="s">
        <v>23</v>
      </c>
      <c r="C4" s="3">
        <v>12.0</v>
      </c>
      <c r="D4" s="3">
        <v>125.0</v>
      </c>
      <c r="G4" s="3" t="s">
        <v>25</v>
      </c>
      <c r="H4" s="3">
        <v>125.0</v>
      </c>
      <c r="I4" s="3">
        <v>110.0</v>
      </c>
      <c r="J4" s="4">
        <v>0.88</v>
      </c>
    </row>
    <row r="5">
      <c r="A5" s="3" t="s">
        <v>26</v>
      </c>
      <c r="B5" s="3" t="s">
        <v>27</v>
      </c>
      <c r="C5" s="3">
        <v>13.0</v>
      </c>
      <c r="D5" s="3">
        <v>137.5</v>
      </c>
      <c r="G5" s="3" t="s">
        <v>28</v>
      </c>
      <c r="H5" s="3">
        <v>140.0</v>
      </c>
      <c r="I5" s="3">
        <v>133.0</v>
      </c>
      <c r="J5" s="4">
        <v>0.95</v>
      </c>
    </row>
    <row r="6">
      <c r="A6" s="3" t="s">
        <v>29</v>
      </c>
      <c r="B6" s="3" t="s">
        <v>11</v>
      </c>
      <c r="C6" s="3">
        <v>14.0</v>
      </c>
      <c r="D6" s="3">
        <v>150.0</v>
      </c>
      <c r="G6" s="3" t="s">
        <v>30</v>
      </c>
      <c r="H6" s="3">
        <v>150.0</v>
      </c>
      <c r="I6" s="3">
        <v>120.0</v>
      </c>
      <c r="J6" s="4">
        <v>0.8</v>
      </c>
    </row>
    <row r="7">
      <c r="A7" s="3" t="s">
        <v>31</v>
      </c>
      <c r="B7" s="3" t="s">
        <v>20</v>
      </c>
      <c r="C7" s="3">
        <v>15.0</v>
      </c>
      <c r="D7" s="3">
        <v>162.5</v>
      </c>
      <c r="G7" s="3" t="s">
        <v>32</v>
      </c>
      <c r="H7" s="3">
        <v>160.0</v>
      </c>
      <c r="I7" s="3">
        <v>151.0</v>
      </c>
      <c r="J7" s="4">
        <v>0.94</v>
      </c>
    </row>
    <row r="8">
      <c r="A8" s="3" t="s">
        <v>33</v>
      </c>
      <c r="B8" s="3" t="s">
        <v>23</v>
      </c>
      <c r="C8" s="3">
        <v>16.0</v>
      </c>
      <c r="D8" s="3">
        <v>175.0</v>
      </c>
      <c r="G8" s="3" t="s">
        <v>34</v>
      </c>
      <c r="H8" s="3">
        <v>155.0</v>
      </c>
      <c r="I8" s="3">
        <v>140.0</v>
      </c>
      <c r="J8" s="4">
        <v>0.9</v>
      </c>
    </row>
    <row r="9">
      <c r="A9" s="3" t="s">
        <v>35</v>
      </c>
      <c r="B9" s="3" t="s">
        <v>27</v>
      </c>
      <c r="C9" s="3">
        <v>17.0</v>
      </c>
      <c r="D9" s="3">
        <v>187.5</v>
      </c>
      <c r="G9" s="5" t="s">
        <v>36</v>
      </c>
      <c r="H9" s="3">
        <f t="shared" ref="H9:I9" si="1">SUM(H2:H8)</f>
        <v>980</v>
      </c>
      <c r="I9" s="3">
        <f t="shared" si="1"/>
        <v>850</v>
      </c>
      <c r="J9" s="4">
        <f>I9/H9</f>
        <v>0.8673469388</v>
      </c>
    </row>
    <row r="10">
      <c r="A10" s="3" t="s">
        <v>44</v>
      </c>
      <c r="B10" s="3" t="s">
        <v>11</v>
      </c>
      <c r="C10" s="3">
        <v>18.0</v>
      </c>
      <c r="D10" s="3">
        <v>200.0</v>
      </c>
    </row>
    <row r="11">
      <c r="A11" s="3" t="s">
        <v>45</v>
      </c>
      <c r="B11" s="3" t="s">
        <v>20</v>
      </c>
      <c r="C11" s="3">
        <v>19.0</v>
      </c>
      <c r="D11" s="3">
        <v>212.5</v>
      </c>
    </row>
    <row r="14">
      <c r="A14" s="3" t="s">
        <v>47</v>
      </c>
      <c r="B14" s="3" t="s">
        <v>23</v>
      </c>
      <c r="C14" s="3">
        <v>20.0</v>
      </c>
      <c r="D14" s="3">
        <v>225.0</v>
      </c>
    </row>
    <row r="15">
      <c r="A15" s="3" t="s">
        <v>50</v>
      </c>
      <c r="B15" s="3" t="s">
        <v>27</v>
      </c>
      <c r="C15" s="3">
        <v>21.0</v>
      </c>
      <c r="D15" s="3">
        <v>237.5</v>
      </c>
      <c r="L15" s="3">
        <v>3.14</v>
      </c>
    </row>
    <row r="16">
      <c r="A16" s="3" t="s">
        <v>54</v>
      </c>
      <c r="B16" s="3" t="s">
        <v>11</v>
      </c>
      <c r="C16" s="3">
        <v>22.0</v>
      </c>
      <c r="D16" s="3">
        <v>250.0</v>
      </c>
    </row>
    <row r="17">
      <c r="A17" s="3" t="s">
        <v>56</v>
      </c>
      <c r="B17" s="3" t="s">
        <v>20</v>
      </c>
      <c r="C17" s="3">
        <v>23.0</v>
      </c>
      <c r="D17" s="3">
        <v>262.5</v>
      </c>
    </row>
    <row r="18">
      <c r="A18" s="3" t="s">
        <v>59</v>
      </c>
      <c r="B18" s="3" t="s">
        <v>23</v>
      </c>
      <c r="C18" s="3">
        <v>24.0</v>
      </c>
      <c r="D18" s="3">
        <v>275.0</v>
      </c>
    </row>
    <row r="19">
      <c r="A19" s="3" t="s">
        <v>62</v>
      </c>
      <c r="B19" s="3" t="s">
        <v>27</v>
      </c>
      <c r="C19" s="3">
        <v>25.0</v>
      </c>
      <c r="D19" s="3">
        <v>287.5</v>
      </c>
    </row>
    <row r="20">
      <c r="A20" s="3" t="s">
        <v>63</v>
      </c>
      <c r="B20" s="3" t="s">
        <v>11</v>
      </c>
      <c r="C20" s="3">
        <v>26.0</v>
      </c>
      <c r="D20" s="3">
        <v>300.0</v>
      </c>
    </row>
    <row r="25">
      <c r="A25" s="1" t="s">
        <v>67</v>
      </c>
      <c r="B25" s="1" t="s">
        <v>68</v>
      </c>
      <c r="C25" s="1" t="s">
        <v>69</v>
      </c>
      <c r="D25" s="1" t="s">
        <v>55</v>
      </c>
    </row>
    <row r="26">
      <c r="A26" s="3" t="s">
        <v>71</v>
      </c>
      <c r="B26" s="3">
        <v>3.0</v>
      </c>
      <c r="C26" s="3">
        <v>5.0</v>
      </c>
      <c r="D26" s="3" t="s">
        <v>72</v>
      </c>
    </row>
    <row r="27">
      <c r="A27" s="3" t="s">
        <v>73</v>
      </c>
      <c r="B27" s="3">
        <v>4.0</v>
      </c>
      <c r="C27" s="3">
        <v>4.0</v>
      </c>
      <c r="D27" s="3" t="s">
        <v>72</v>
      </c>
    </row>
    <row r="28">
      <c r="A28" s="3" t="s">
        <v>74</v>
      </c>
      <c r="B28" s="3">
        <v>5.0</v>
      </c>
      <c r="C28" s="3">
        <v>3.0</v>
      </c>
      <c r="D28" s="3" t="s">
        <v>72</v>
      </c>
    </row>
    <row r="29">
      <c r="A29" s="3" t="s">
        <v>76</v>
      </c>
      <c r="B29" s="3">
        <v>6.0</v>
      </c>
      <c r="C29" s="3">
        <v>5.0</v>
      </c>
      <c r="D29" s="3" t="s">
        <v>72</v>
      </c>
    </row>
    <row r="30">
      <c r="A30" s="3" t="s">
        <v>77</v>
      </c>
      <c r="B30" s="3">
        <v>7.0</v>
      </c>
      <c r="C30" s="3">
        <v>4.0</v>
      </c>
      <c r="D30" s="3" t="s">
        <v>72</v>
      </c>
    </row>
    <row r="31">
      <c r="A31" s="3" t="s">
        <v>78</v>
      </c>
      <c r="B31" s="3">
        <v>8.0</v>
      </c>
      <c r="C31" s="3">
        <v>3.0</v>
      </c>
      <c r="D31" s="3" t="s">
        <v>72</v>
      </c>
    </row>
    <row r="32">
      <c r="A32" s="3" t="s">
        <v>79</v>
      </c>
      <c r="B32" s="3">
        <v>9.0</v>
      </c>
      <c r="C32" s="3">
        <v>5.0</v>
      </c>
      <c r="D32" s="3" t="s">
        <v>72</v>
      </c>
    </row>
    <row r="34">
      <c r="A34" s="3" t="s">
        <v>80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3" max="3" width="12.63"/>
  </cols>
  <sheetData>
    <row r="1">
      <c r="A1" s="1" t="s">
        <v>86</v>
      </c>
      <c r="B1" s="1" t="s">
        <v>87</v>
      </c>
      <c r="C1" s="1" t="s">
        <v>88</v>
      </c>
      <c r="D1" s="1" t="s">
        <v>89</v>
      </c>
      <c r="E1" s="1" t="s">
        <v>91</v>
      </c>
    </row>
    <row r="2">
      <c r="A2" s="3" t="s">
        <v>92</v>
      </c>
      <c r="B2" s="3">
        <v>10.0</v>
      </c>
      <c r="C2" s="3" t="s">
        <v>93</v>
      </c>
      <c r="D2" s="3" t="s">
        <v>94</v>
      </c>
      <c r="E2" s="3">
        <v>1.0</v>
      </c>
    </row>
    <row r="3">
      <c r="A3" s="3" t="s">
        <v>95</v>
      </c>
      <c r="B3" s="3">
        <v>20.0</v>
      </c>
      <c r="C3" s="3" t="s">
        <v>96</v>
      </c>
      <c r="D3" s="3" t="s">
        <v>94</v>
      </c>
      <c r="E3" s="3">
        <v>2.0</v>
      </c>
    </row>
    <row r="4">
      <c r="A4" s="3" t="s">
        <v>98</v>
      </c>
      <c r="B4" s="3">
        <v>30.0</v>
      </c>
      <c r="C4" s="3" t="s">
        <v>99</v>
      </c>
      <c r="D4" s="3" t="s">
        <v>94</v>
      </c>
      <c r="E4" s="3">
        <v>0.0</v>
      </c>
    </row>
    <row r="5" hidden="1">
      <c r="A5" s="3" t="s">
        <v>100</v>
      </c>
      <c r="B5" s="3">
        <v>40.0</v>
      </c>
      <c r="C5" s="3" t="s">
        <v>101</v>
      </c>
      <c r="D5" s="3" t="s">
        <v>94</v>
      </c>
      <c r="E5" s="3">
        <v>1.0</v>
      </c>
    </row>
    <row r="6" hidden="1">
      <c r="A6" s="3" t="s">
        <v>102</v>
      </c>
      <c r="B6" s="3">
        <v>50.0</v>
      </c>
      <c r="C6" s="3" t="s">
        <v>103</v>
      </c>
      <c r="D6" s="3" t="s">
        <v>94</v>
      </c>
      <c r="E6" s="3">
        <v>2.0</v>
      </c>
    </row>
    <row r="7">
      <c r="A7" s="3" t="s">
        <v>104</v>
      </c>
      <c r="B7" s="3">
        <v>60.0</v>
      </c>
      <c r="C7" s="3" t="s">
        <v>105</v>
      </c>
      <c r="D7" s="3" t="s">
        <v>94</v>
      </c>
      <c r="E7" s="3">
        <v>0.0</v>
      </c>
    </row>
    <row r="8">
      <c r="A8" s="3" t="s">
        <v>106</v>
      </c>
      <c r="B8" s="3">
        <v>70.0</v>
      </c>
      <c r="C8" s="3" t="s">
        <v>107</v>
      </c>
      <c r="D8" s="3" t="s">
        <v>94</v>
      </c>
      <c r="E8" s="3">
        <v>1.0</v>
      </c>
    </row>
    <row r="9">
      <c r="A9" s="3" t="s">
        <v>108</v>
      </c>
      <c r="B9" s="3">
        <v>80.0</v>
      </c>
      <c r="C9" s="3" t="s">
        <v>109</v>
      </c>
      <c r="D9" s="3" t="s">
        <v>94</v>
      </c>
      <c r="E9" s="3">
        <v>2.0</v>
      </c>
    </row>
    <row r="10" hidden="1">
      <c r="A10" s="3" t="s">
        <v>110</v>
      </c>
      <c r="B10" s="3">
        <v>90.0</v>
      </c>
      <c r="C10" s="3" t="s">
        <v>111</v>
      </c>
      <c r="D10" s="3" t="s">
        <v>112</v>
      </c>
      <c r="E10" s="3">
        <v>0.0</v>
      </c>
    </row>
    <row r="11">
      <c r="A11" s="3" t="s">
        <v>113</v>
      </c>
      <c r="B11" s="3">
        <v>100.0</v>
      </c>
      <c r="C11" s="3" t="s">
        <v>114</v>
      </c>
      <c r="D11" s="3" t="s">
        <v>94</v>
      </c>
      <c r="E11" s="3">
        <v>1.0</v>
      </c>
    </row>
    <row r="12">
      <c r="A12" s="3" t="s">
        <v>115</v>
      </c>
      <c r="B12" s="3">
        <v>110.0</v>
      </c>
      <c r="C12" s="3" t="s">
        <v>116</v>
      </c>
      <c r="D12" s="3" t="s">
        <v>94</v>
      </c>
      <c r="E12" s="3">
        <v>2.0</v>
      </c>
    </row>
    <row r="13">
      <c r="A13" s="3" t="s">
        <v>117</v>
      </c>
      <c r="B13" s="3">
        <v>120.0</v>
      </c>
      <c r="C13" s="3" t="s">
        <v>118</v>
      </c>
      <c r="D13" s="3" t="s">
        <v>94</v>
      </c>
      <c r="E13" s="3">
        <v>0.0</v>
      </c>
    </row>
  </sheetData>
  <autoFilter ref="$A$1:$E$13">
    <filterColumn colId="3">
      <filters>
        <filter val="keep"/>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121</v>
      </c>
      <c r="B1" s="1" t="s">
        <v>122</v>
      </c>
      <c r="C1" s="1" t="s">
        <v>123</v>
      </c>
    </row>
    <row r="2">
      <c r="A2" s="3">
        <v>5.0</v>
      </c>
      <c r="B2" s="3">
        <f>A2*2</f>
        <v>10</v>
      </c>
      <c r="C2" s="3" t="s">
        <v>125</v>
      </c>
    </row>
    <row r="3">
      <c r="A3" s="3">
        <v>7.0</v>
      </c>
      <c r="B3" s="3">
        <f>SUM(A2:A3)</f>
        <v>12</v>
      </c>
      <c r="C3" s="3" t="s">
        <v>127</v>
      </c>
    </row>
    <row r="4">
      <c r="B4" s="3">
        <f>'multi-region'!C2</f>
        <v>10</v>
      </c>
      <c r="C4" s="3" t="s">
        <v>134</v>
      </c>
    </row>
    <row r="5">
      <c r="B5" s="3">
        <f>ROWS(quarterly_targets)</f>
        <v>9</v>
      </c>
      <c r="C5" s="7" t="s">
        <v>138</v>
      </c>
    </row>
    <row r="6">
      <c r="B6" s="3" t="str">
        <f t="array" ref="B6">INDIRECT("nowhere!A1")</f>
        <v>#REF!</v>
      </c>
      <c r="C6" s="3" t="s">
        <v>140</v>
      </c>
    </row>
    <row r="7">
      <c r="B7" s="3" t="str">
        <f>1/0</f>
        <v>#DIV/0!</v>
      </c>
      <c r="C7" s="3" t="s">
        <v>142</v>
      </c>
    </row>
    <row r="8">
      <c r="B8" s="3" t="str">
        <f>TEXT(DATE(2026,10,23),"yyyy-mm-dd")</f>
        <v>2026-10-23</v>
      </c>
      <c r="C8" s="3" t="s">
        <v>146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150</v>
      </c>
      <c r="B1" s="3" t="s">
        <v>87</v>
      </c>
    </row>
    <row r="2">
      <c r="A2" s="3" t="s">
        <v>72</v>
      </c>
      <c r="B2" s="3">
        <v>1.0</v>
      </c>
    </row>
    <row r="3">
      <c r="A3" s="3" t="s">
        <v>151</v>
      </c>
      <c r="B3" s="3">
        <v>2.0</v>
      </c>
    </row>
  </sheetData>
  <drawing r:id="rId1"/>
</worksheet>
</file>